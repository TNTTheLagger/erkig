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filterPrivacy="1" defaultThemeVersion="166925"/>
  <xr:revisionPtr revIDLastSave="0" documentId="8_{1FCCB463-21D4-4B56-884F-51A53D4A6305}" xr6:coauthVersionLast="36" xr6:coauthVersionMax="36" xr10:uidLastSave="{00000000-0000-0000-0000-000000000000}"/>
  <bookViews>
    <workbookView xWindow="0" yWindow="0" windowWidth="28800" windowHeight="12105" xr2:uid="{DE8F114C-4524-4DF4-99E5-FDCB4C6B9E8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8" i="1" l="1"/>
  <c r="Q28" i="1"/>
  <c r="B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3" i="1"/>
  <c r="P29" i="1"/>
  <c r="O29" i="1"/>
  <c r="P28" i="1"/>
  <c r="O28" i="1"/>
  <c r="O33" i="1"/>
  <c r="O32" i="1"/>
  <c r="O31" i="1"/>
  <c r="H33" i="1"/>
  <c r="H32" i="1"/>
  <c r="H31" i="1"/>
  <c r="B32" i="1"/>
  <c r="B31" i="1"/>
  <c r="C27" i="1"/>
  <c r="D27" i="1"/>
  <c r="E27" i="1"/>
  <c r="F27" i="1"/>
  <c r="G27" i="1"/>
  <c r="H27" i="1"/>
  <c r="I27" i="1"/>
  <c r="J27" i="1"/>
  <c r="K27" i="1"/>
  <c r="L27" i="1"/>
  <c r="M27" i="1"/>
  <c r="B2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3" i="1"/>
</calcChain>
</file>

<file path=xl/sharedStrings.xml><?xml version="1.0" encoding="utf-8"?>
<sst xmlns="http://schemas.openxmlformats.org/spreadsheetml/2006/main" count="62" uniqueCount="60">
  <si>
    <t>Név</t>
  </si>
  <si>
    <t>Héjas Endre</t>
  </si>
  <si>
    <t>Halmi Elemér</t>
  </si>
  <si>
    <t>Prokop Imre</t>
  </si>
  <si>
    <t>Völgyesi Kristóf</t>
  </si>
  <si>
    <t>Bárkányi Jónás</t>
  </si>
  <si>
    <t>Délczeg Jadviga</t>
  </si>
  <si>
    <t>Fabinyi Zsuzsa</t>
  </si>
  <si>
    <t>Istenes Vanda</t>
  </si>
  <si>
    <t>Thuróczy Miriam</t>
  </si>
  <si>
    <t>Ábrahám Borbála</t>
  </si>
  <si>
    <t>Kertész Karina</t>
  </si>
  <si>
    <t>Dobrosi Liliána</t>
  </si>
  <si>
    <t>Győrváry Kitti</t>
  </si>
  <si>
    <t>Vezér Franciska</t>
  </si>
  <si>
    <t>Görög Győző</t>
  </si>
  <si>
    <t>Gertner Jusztin</t>
  </si>
  <si>
    <t>Eszenyi Dusán</t>
  </si>
  <si>
    <t>Pócsik Antal</t>
  </si>
  <si>
    <t>Bodzás Oleg</t>
  </si>
  <si>
    <t>Garami Bertold</t>
  </si>
  <si>
    <t>Bajai Valter</t>
  </si>
  <si>
    <t>Dóka Andor</t>
  </si>
  <si>
    <t>Tanulók száma:</t>
  </si>
  <si>
    <t>Igénybe vett napok száma:</t>
  </si>
  <si>
    <t>Leghosszabb időtartam:</t>
  </si>
  <si>
    <t>Teljes bevétel:</t>
  </si>
  <si>
    <t>Átlagos táborozási idő:</t>
  </si>
  <si>
    <t>Erdős Jácint</t>
  </si>
  <si>
    <t>Kenyeres Imre</t>
  </si>
  <si>
    <t>Magyar</t>
  </si>
  <si>
    <t>Matematika</t>
  </si>
  <si>
    <t>Történelem</t>
  </si>
  <si>
    <t>Etika</t>
  </si>
  <si>
    <t>Természettudomány</t>
  </si>
  <si>
    <t>Földrajz</t>
  </si>
  <si>
    <t>Ének-zene</t>
  </si>
  <si>
    <t>Testnevelés</t>
  </si>
  <si>
    <t>Átlag</t>
  </si>
  <si>
    <t>Igazolt</t>
  </si>
  <si>
    <t>Igazolatlan</t>
  </si>
  <si>
    <t>Vizuális kultúra</t>
  </si>
  <si>
    <t>Digitális kultúra</t>
  </si>
  <si>
    <t>Állampolgári ism.</t>
  </si>
  <si>
    <t>Angol nyelv</t>
  </si>
  <si>
    <t>4,5 fölött</t>
  </si>
  <si>
    <t>Összesen</t>
  </si>
  <si>
    <t>1 főre</t>
  </si>
  <si>
    <t>Legjobb átlag:</t>
  </si>
  <si>
    <t>Harmadik legjobb:</t>
  </si>
  <si>
    <t>Második legjobb:</t>
  </si>
  <si>
    <t>Harmadik legrosszabb:</t>
  </si>
  <si>
    <t>Második legrosszabb:</t>
  </si>
  <si>
    <t>Legrosszabb átlag:</t>
  </si>
  <si>
    <t>mt</t>
  </si>
  <si>
    <t>Osztályátlag:</t>
  </si>
  <si>
    <t>Bukások száma:</t>
  </si>
  <si>
    <t>Tantárgyi átlag</t>
  </si>
  <si>
    <t>Osztálystatisztika (8.a)</t>
  </si>
  <si>
    <t>Elégtelent szerzett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</si>
</sst>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textRotation="9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AA07-BFA6-4312-A3C4-CA2A36E5F062}">
  <dimension ref="A1:Y72"/>
  <sheetViews>
    <sheetView tabSelected="1" zoomScaleNormal="100" workbookViewId="0">
      <selection activeCell="P2" sqref="P2"/>
    </sheetView>
  </sheetViews>
  <sheetFormatPr defaultRowHeight="15" x14ac:dyDescent="0.25"/>
  <cols>
    <col min="1" max="1" width="15.5703125" customWidth="1"/>
    <col min="2" max="6" width="4.7109375" customWidth="1"/>
    <col min="7" max="7" width="17.42578125" bestFit="1" customWidth="1"/>
    <col min="8" max="13" width="4.7109375" customWidth="1"/>
    <col min="14" max="14" width="21.140625" bestFit="1" customWidth="1"/>
    <col min="15" max="15" width="5.5703125" bestFit="1" customWidth="1"/>
    <col min="16" max="16" width="5.7109375" customWidth="1"/>
    <col min="17" max="18" width="4.7109375" customWidth="1"/>
    <col min="25" max="25" width="0" hidden="1" customWidth="1"/>
  </cols>
  <sheetData>
    <row r="1" spans="1:25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5" ht="102.75" x14ac:dyDescent="0.25">
      <c r="A2" t="s">
        <v>0</v>
      </c>
      <c r="B2" s="2" t="s">
        <v>30</v>
      </c>
      <c r="C2" s="2" t="s">
        <v>44</v>
      </c>
      <c r="D2" s="2" t="s">
        <v>31</v>
      </c>
      <c r="E2" s="2" t="s">
        <v>32</v>
      </c>
      <c r="F2" s="2" t="s">
        <v>43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41</v>
      </c>
      <c r="L2" s="2" t="s">
        <v>42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45</v>
      </c>
      <c r="R2" s="2" t="s">
        <v>59</v>
      </c>
      <c r="S2" s="2"/>
    </row>
    <row r="3" spans="1:25" x14ac:dyDescent="0.25">
      <c r="A3" t="s">
        <v>10</v>
      </c>
      <c r="B3">
        <v>4</v>
      </c>
      <c r="C3">
        <v>5</v>
      </c>
      <c r="D3">
        <v>4</v>
      </c>
      <c r="E3">
        <v>4</v>
      </c>
      <c r="F3">
        <v>5</v>
      </c>
      <c r="G3">
        <v>5</v>
      </c>
      <c r="H3">
        <v>4</v>
      </c>
      <c r="I3">
        <v>4</v>
      </c>
      <c r="J3">
        <v>5</v>
      </c>
      <c r="K3">
        <v>4</v>
      </c>
      <c r="L3">
        <v>4</v>
      </c>
      <c r="M3">
        <v>4</v>
      </c>
      <c r="N3">
        <f>AVERAGE(B3:M3)</f>
        <v>4.333333333333333</v>
      </c>
      <c r="O3">
        <v>16</v>
      </c>
      <c r="P3">
        <v>0</v>
      </c>
      <c r="Q3" t="str">
        <f>IF(N3&gt;4.5,"x","")</f>
        <v/>
      </c>
      <c r="R3" t="str">
        <f>IF(Y3&gt;0,"!!!","")</f>
        <v/>
      </c>
      <c r="Y3">
        <f>COUNTIF(B3:M3,1)</f>
        <v>0</v>
      </c>
    </row>
    <row r="4" spans="1:25" x14ac:dyDescent="0.25">
      <c r="A4" t="s">
        <v>21</v>
      </c>
      <c r="B4">
        <v>4</v>
      </c>
      <c r="C4">
        <v>4</v>
      </c>
      <c r="D4">
        <v>5</v>
      </c>
      <c r="E4">
        <v>4</v>
      </c>
      <c r="F4">
        <v>5</v>
      </c>
      <c r="G4">
        <v>5</v>
      </c>
      <c r="H4">
        <v>5</v>
      </c>
      <c r="I4">
        <v>5</v>
      </c>
      <c r="J4">
        <v>5</v>
      </c>
      <c r="K4">
        <v>4</v>
      </c>
      <c r="L4">
        <v>5</v>
      </c>
      <c r="M4">
        <v>4</v>
      </c>
      <c r="N4">
        <f t="shared" ref="N4:N29" si="0">AVERAGE(B4:M4)</f>
        <v>4.583333333333333</v>
      </c>
      <c r="O4">
        <v>55</v>
      </c>
      <c r="P4">
        <v>1</v>
      </c>
      <c r="Q4" t="str">
        <f t="shared" ref="Q4:Q26" si="1">IF(N4&gt;4.5,"x","")</f>
        <v>x</v>
      </c>
      <c r="R4" t="str">
        <f t="shared" ref="R4:R26" si="2">IF(Y4&gt;0,"!!!","")</f>
        <v/>
      </c>
      <c r="Y4">
        <f t="shared" ref="Y4:Y26" si="3">COUNTIF(B4:M4,1)</f>
        <v>0</v>
      </c>
    </row>
    <row r="5" spans="1:25" x14ac:dyDescent="0.25">
      <c r="A5" t="s">
        <v>5</v>
      </c>
      <c r="B5">
        <v>4</v>
      </c>
      <c r="C5">
        <v>3</v>
      </c>
      <c r="D5">
        <v>5</v>
      </c>
      <c r="E5">
        <v>4</v>
      </c>
      <c r="F5">
        <v>4</v>
      </c>
      <c r="G5">
        <v>5</v>
      </c>
      <c r="H5">
        <v>3</v>
      </c>
      <c r="I5">
        <v>4</v>
      </c>
      <c r="J5">
        <v>4</v>
      </c>
      <c r="K5">
        <v>4</v>
      </c>
      <c r="L5">
        <v>3</v>
      </c>
      <c r="M5">
        <v>5</v>
      </c>
      <c r="N5">
        <f t="shared" si="0"/>
        <v>4</v>
      </c>
      <c r="O5">
        <v>78</v>
      </c>
      <c r="P5">
        <v>0</v>
      </c>
      <c r="Q5" t="str">
        <f t="shared" si="1"/>
        <v/>
      </c>
      <c r="R5" t="str">
        <f t="shared" si="2"/>
        <v/>
      </c>
      <c r="Y5">
        <f t="shared" si="3"/>
        <v>0</v>
      </c>
    </row>
    <row r="6" spans="1:25" x14ac:dyDescent="0.25">
      <c r="A6" t="s">
        <v>19</v>
      </c>
      <c r="B6">
        <v>5</v>
      </c>
      <c r="C6">
        <v>4</v>
      </c>
      <c r="D6">
        <v>1</v>
      </c>
      <c r="E6">
        <v>4</v>
      </c>
      <c r="F6">
        <v>5</v>
      </c>
      <c r="G6">
        <v>5</v>
      </c>
      <c r="H6">
        <v>3</v>
      </c>
      <c r="I6">
        <v>4</v>
      </c>
      <c r="J6">
        <v>4</v>
      </c>
      <c r="K6">
        <v>5</v>
      </c>
      <c r="L6">
        <v>4</v>
      </c>
      <c r="M6">
        <v>5</v>
      </c>
      <c r="N6">
        <f t="shared" si="0"/>
        <v>4.083333333333333</v>
      </c>
      <c r="O6">
        <v>12</v>
      </c>
      <c r="P6">
        <v>0</v>
      </c>
      <c r="Q6" t="str">
        <f t="shared" si="1"/>
        <v/>
      </c>
      <c r="R6" t="str">
        <f t="shared" si="2"/>
        <v>!!!</v>
      </c>
      <c r="Y6">
        <f t="shared" si="3"/>
        <v>1</v>
      </c>
    </row>
    <row r="7" spans="1:25" x14ac:dyDescent="0.25">
      <c r="A7" t="s">
        <v>6</v>
      </c>
      <c r="B7">
        <v>4</v>
      </c>
      <c r="C7">
        <v>3</v>
      </c>
      <c r="D7">
        <v>5</v>
      </c>
      <c r="E7">
        <v>5</v>
      </c>
      <c r="F7">
        <v>5</v>
      </c>
      <c r="G7">
        <v>5</v>
      </c>
      <c r="H7">
        <v>4</v>
      </c>
      <c r="I7">
        <v>5</v>
      </c>
      <c r="J7">
        <v>3</v>
      </c>
      <c r="K7">
        <v>4</v>
      </c>
      <c r="L7">
        <v>5</v>
      </c>
      <c r="M7">
        <v>4</v>
      </c>
      <c r="N7">
        <f t="shared" si="0"/>
        <v>4.333333333333333</v>
      </c>
      <c r="O7">
        <v>98</v>
      </c>
      <c r="P7">
        <v>1</v>
      </c>
      <c r="Q7" t="str">
        <f t="shared" si="1"/>
        <v/>
      </c>
      <c r="R7" t="str">
        <f t="shared" si="2"/>
        <v/>
      </c>
      <c r="Y7">
        <f t="shared" si="3"/>
        <v>0</v>
      </c>
    </row>
    <row r="8" spans="1:25" x14ac:dyDescent="0.25">
      <c r="A8" t="s">
        <v>12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4</v>
      </c>
      <c r="N8">
        <f t="shared" si="0"/>
        <v>4.916666666666667</v>
      </c>
      <c r="O8">
        <v>0</v>
      </c>
      <c r="P8">
        <v>0</v>
      </c>
      <c r="Q8" t="str">
        <f t="shared" si="1"/>
        <v>x</v>
      </c>
      <c r="R8" t="str">
        <f t="shared" si="2"/>
        <v/>
      </c>
      <c r="Y8">
        <f t="shared" si="3"/>
        <v>0</v>
      </c>
    </row>
    <row r="9" spans="1:25" x14ac:dyDescent="0.25">
      <c r="A9" t="s">
        <v>22</v>
      </c>
      <c r="B9">
        <v>4</v>
      </c>
      <c r="C9">
        <v>3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5</v>
      </c>
      <c r="K9">
        <v>3</v>
      </c>
      <c r="L9">
        <v>5</v>
      </c>
      <c r="M9">
        <v>3</v>
      </c>
      <c r="N9">
        <f t="shared" si="0"/>
        <v>3.9166666666666665</v>
      </c>
      <c r="O9">
        <v>36</v>
      </c>
      <c r="P9">
        <v>0</v>
      </c>
      <c r="Q9" t="str">
        <f t="shared" si="1"/>
        <v/>
      </c>
      <c r="R9" t="str">
        <f t="shared" si="2"/>
        <v/>
      </c>
      <c r="Y9">
        <f t="shared" si="3"/>
        <v>0</v>
      </c>
    </row>
    <row r="10" spans="1:25" x14ac:dyDescent="0.25">
      <c r="A10" t="s">
        <v>28</v>
      </c>
      <c r="B10">
        <v>5</v>
      </c>
      <c r="C10">
        <v>5</v>
      </c>
      <c r="D10">
        <v>5</v>
      </c>
      <c r="E10">
        <v>4</v>
      </c>
      <c r="F10">
        <v>5</v>
      </c>
      <c r="G10">
        <v>5</v>
      </c>
      <c r="H10">
        <v>4</v>
      </c>
      <c r="I10">
        <v>5</v>
      </c>
      <c r="J10">
        <v>5</v>
      </c>
      <c r="K10">
        <v>4</v>
      </c>
      <c r="L10">
        <v>4</v>
      </c>
      <c r="M10">
        <v>4</v>
      </c>
      <c r="N10">
        <f t="shared" si="0"/>
        <v>4.583333333333333</v>
      </c>
      <c r="O10">
        <v>32</v>
      </c>
      <c r="P10">
        <v>4</v>
      </c>
      <c r="Q10" t="str">
        <f t="shared" si="1"/>
        <v>x</v>
      </c>
      <c r="R10" t="str">
        <f t="shared" si="2"/>
        <v/>
      </c>
      <c r="Y10">
        <f t="shared" si="3"/>
        <v>0</v>
      </c>
    </row>
    <row r="11" spans="1:25" x14ac:dyDescent="0.25">
      <c r="A11" t="s">
        <v>17</v>
      </c>
      <c r="B11">
        <v>4</v>
      </c>
      <c r="C11">
        <v>3</v>
      </c>
      <c r="D11">
        <v>3</v>
      </c>
      <c r="E11">
        <v>1</v>
      </c>
      <c r="F11">
        <v>3</v>
      </c>
      <c r="G11">
        <v>3</v>
      </c>
      <c r="H11">
        <v>3</v>
      </c>
      <c r="I11">
        <v>2</v>
      </c>
      <c r="J11">
        <v>5</v>
      </c>
      <c r="K11">
        <v>3</v>
      </c>
      <c r="L11">
        <v>5</v>
      </c>
      <c r="M11" t="s">
        <v>54</v>
      </c>
      <c r="N11">
        <f t="shared" si="0"/>
        <v>3.1818181818181817</v>
      </c>
      <c r="O11">
        <v>12</v>
      </c>
      <c r="P11">
        <v>0</v>
      </c>
      <c r="Q11" t="str">
        <f t="shared" si="1"/>
        <v/>
      </c>
      <c r="R11" t="str">
        <f t="shared" si="2"/>
        <v>!!!</v>
      </c>
      <c r="Y11">
        <f t="shared" si="3"/>
        <v>1</v>
      </c>
    </row>
    <row r="12" spans="1:25" x14ac:dyDescent="0.25">
      <c r="A12" t="s">
        <v>7</v>
      </c>
      <c r="B12">
        <v>4</v>
      </c>
      <c r="C12">
        <v>5</v>
      </c>
      <c r="D12">
        <v>5</v>
      </c>
      <c r="E12">
        <v>3</v>
      </c>
      <c r="F12">
        <v>5</v>
      </c>
      <c r="G12">
        <v>5</v>
      </c>
      <c r="H12">
        <v>4</v>
      </c>
      <c r="I12">
        <v>3</v>
      </c>
      <c r="J12">
        <v>4</v>
      </c>
      <c r="K12">
        <v>4</v>
      </c>
      <c r="L12">
        <v>5</v>
      </c>
      <c r="M12">
        <v>5</v>
      </c>
      <c r="N12">
        <f t="shared" si="0"/>
        <v>4.333333333333333</v>
      </c>
      <c r="O12">
        <v>72</v>
      </c>
      <c r="P12">
        <v>0</v>
      </c>
      <c r="Q12" t="str">
        <f t="shared" si="1"/>
        <v/>
      </c>
      <c r="R12" t="str">
        <f t="shared" si="2"/>
        <v/>
      </c>
      <c r="Y12">
        <f t="shared" si="3"/>
        <v>0</v>
      </c>
    </row>
    <row r="13" spans="1:25" x14ac:dyDescent="0.25">
      <c r="A13" t="s">
        <v>20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3</v>
      </c>
      <c r="I13">
        <v>5</v>
      </c>
      <c r="J13">
        <v>5</v>
      </c>
      <c r="K13">
        <v>5</v>
      </c>
      <c r="L13">
        <v>5</v>
      </c>
      <c r="M13">
        <v>5</v>
      </c>
      <c r="N13">
        <f t="shared" si="0"/>
        <v>4.833333333333333</v>
      </c>
      <c r="O13">
        <v>6</v>
      </c>
      <c r="P13">
        <v>6</v>
      </c>
      <c r="Q13" t="str">
        <f t="shared" si="1"/>
        <v>x</v>
      </c>
      <c r="R13" t="str">
        <f t="shared" si="2"/>
        <v/>
      </c>
      <c r="Y13">
        <f t="shared" si="3"/>
        <v>0</v>
      </c>
    </row>
    <row r="14" spans="1:25" x14ac:dyDescent="0.25">
      <c r="A14" t="s">
        <v>16</v>
      </c>
      <c r="B14">
        <v>5</v>
      </c>
      <c r="C14">
        <v>3</v>
      </c>
      <c r="D14">
        <v>5</v>
      </c>
      <c r="E14">
        <v>3</v>
      </c>
      <c r="F14">
        <v>5</v>
      </c>
      <c r="G14">
        <v>5</v>
      </c>
      <c r="H14">
        <v>4</v>
      </c>
      <c r="I14">
        <v>3</v>
      </c>
      <c r="J14">
        <v>5</v>
      </c>
      <c r="K14">
        <v>3</v>
      </c>
      <c r="L14">
        <v>4</v>
      </c>
      <c r="M14">
        <v>4</v>
      </c>
      <c r="N14">
        <f t="shared" si="0"/>
        <v>4.083333333333333</v>
      </c>
      <c r="O14">
        <v>128</v>
      </c>
      <c r="P14">
        <v>0</v>
      </c>
      <c r="Q14" t="str">
        <f t="shared" si="1"/>
        <v/>
      </c>
      <c r="R14" t="str">
        <f t="shared" si="2"/>
        <v/>
      </c>
      <c r="Y14">
        <f t="shared" si="3"/>
        <v>0</v>
      </c>
    </row>
    <row r="15" spans="1:25" x14ac:dyDescent="0.25">
      <c r="A15" t="s">
        <v>15</v>
      </c>
      <c r="B15">
        <v>3</v>
      </c>
      <c r="C15">
        <v>3</v>
      </c>
      <c r="D15">
        <v>1</v>
      </c>
      <c r="E15">
        <v>2</v>
      </c>
      <c r="F15">
        <v>3</v>
      </c>
      <c r="G15">
        <v>4</v>
      </c>
      <c r="H15">
        <v>1</v>
      </c>
      <c r="I15">
        <v>3</v>
      </c>
      <c r="J15">
        <v>3</v>
      </c>
      <c r="K15">
        <v>4</v>
      </c>
      <c r="L15">
        <v>2</v>
      </c>
      <c r="M15">
        <v>4</v>
      </c>
      <c r="N15">
        <f t="shared" si="0"/>
        <v>2.75</v>
      </c>
      <c r="O15">
        <v>266</v>
      </c>
      <c r="P15">
        <v>0</v>
      </c>
      <c r="Q15" t="str">
        <f t="shared" si="1"/>
        <v/>
      </c>
      <c r="R15" t="str">
        <f t="shared" si="2"/>
        <v>!!!</v>
      </c>
      <c r="Y15">
        <f t="shared" si="3"/>
        <v>2</v>
      </c>
    </row>
    <row r="16" spans="1:25" x14ac:dyDescent="0.25">
      <c r="A16" t="s">
        <v>13</v>
      </c>
      <c r="B16">
        <v>3</v>
      </c>
      <c r="C16">
        <v>4</v>
      </c>
      <c r="D16">
        <v>5</v>
      </c>
      <c r="E16">
        <v>2</v>
      </c>
      <c r="F16">
        <v>4</v>
      </c>
      <c r="G16">
        <v>5</v>
      </c>
      <c r="H16">
        <v>4</v>
      </c>
      <c r="I16">
        <v>3</v>
      </c>
      <c r="J16">
        <v>4</v>
      </c>
      <c r="K16">
        <v>4</v>
      </c>
      <c r="L16">
        <v>3</v>
      </c>
      <c r="M16">
        <v>5</v>
      </c>
      <c r="N16">
        <f t="shared" si="0"/>
        <v>3.8333333333333335</v>
      </c>
      <c r="O16">
        <v>4</v>
      </c>
      <c r="P16">
        <v>12</v>
      </c>
      <c r="Q16" t="str">
        <f t="shared" si="1"/>
        <v/>
      </c>
      <c r="R16" t="str">
        <f t="shared" si="2"/>
        <v/>
      </c>
      <c r="Y16">
        <f t="shared" si="3"/>
        <v>0</v>
      </c>
    </row>
    <row r="17" spans="1:25" x14ac:dyDescent="0.25">
      <c r="A17" t="s">
        <v>2</v>
      </c>
      <c r="B17">
        <v>5</v>
      </c>
      <c r="C17">
        <v>5</v>
      </c>
      <c r="D17">
        <v>3</v>
      </c>
      <c r="E17">
        <v>5</v>
      </c>
      <c r="F17">
        <v>5</v>
      </c>
      <c r="G17">
        <v>5</v>
      </c>
      <c r="H17">
        <v>3</v>
      </c>
      <c r="I17">
        <v>5</v>
      </c>
      <c r="J17">
        <v>5</v>
      </c>
      <c r="K17">
        <v>5</v>
      </c>
      <c r="L17">
        <v>4</v>
      </c>
      <c r="M17">
        <v>5</v>
      </c>
      <c r="N17">
        <f t="shared" si="0"/>
        <v>4.583333333333333</v>
      </c>
      <c r="O17">
        <v>6</v>
      </c>
      <c r="P17">
        <v>0</v>
      </c>
      <c r="Q17" t="str">
        <f t="shared" si="1"/>
        <v>x</v>
      </c>
      <c r="R17" t="str">
        <f t="shared" si="2"/>
        <v/>
      </c>
      <c r="Y17">
        <f t="shared" si="3"/>
        <v>0</v>
      </c>
    </row>
    <row r="18" spans="1:25" x14ac:dyDescent="0.25">
      <c r="A18" t="s">
        <v>1</v>
      </c>
      <c r="B18">
        <v>4</v>
      </c>
      <c r="C18">
        <v>4</v>
      </c>
      <c r="D18">
        <v>4</v>
      </c>
      <c r="E18">
        <v>4</v>
      </c>
      <c r="F18">
        <v>5</v>
      </c>
      <c r="G18">
        <v>5</v>
      </c>
      <c r="H18">
        <v>2</v>
      </c>
      <c r="I18">
        <v>4</v>
      </c>
      <c r="J18">
        <v>5</v>
      </c>
      <c r="K18">
        <v>4</v>
      </c>
      <c r="L18">
        <v>4</v>
      </c>
      <c r="M18">
        <v>5</v>
      </c>
      <c r="N18">
        <f t="shared" si="0"/>
        <v>4.166666666666667</v>
      </c>
      <c r="O18">
        <v>12</v>
      </c>
      <c r="P18">
        <v>0</v>
      </c>
      <c r="Q18" t="str">
        <f t="shared" si="1"/>
        <v/>
      </c>
      <c r="R18" t="str">
        <f t="shared" si="2"/>
        <v/>
      </c>
      <c r="Y18">
        <f t="shared" si="3"/>
        <v>0</v>
      </c>
    </row>
    <row r="19" spans="1:25" x14ac:dyDescent="0.25">
      <c r="A19" t="s">
        <v>8</v>
      </c>
      <c r="B19">
        <v>5</v>
      </c>
      <c r="C19">
        <v>5</v>
      </c>
      <c r="D19">
        <v>4</v>
      </c>
      <c r="E19">
        <v>5</v>
      </c>
      <c r="F19">
        <v>5</v>
      </c>
      <c r="G19">
        <v>5</v>
      </c>
      <c r="H19">
        <v>4</v>
      </c>
      <c r="I19">
        <v>4</v>
      </c>
      <c r="J19">
        <v>4</v>
      </c>
      <c r="K19">
        <v>5</v>
      </c>
      <c r="L19">
        <v>5</v>
      </c>
      <c r="M19">
        <v>5</v>
      </c>
      <c r="N19">
        <f t="shared" si="0"/>
        <v>4.666666666666667</v>
      </c>
      <c r="O19">
        <v>18</v>
      </c>
      <c r="P19">
        <v>1</v>
      </c>
      <c r="Q19" t="str">
        <f t="shared" si="1"/>
        <v>x</v>
      </c>
      <c r="R19" t="str">
        <f t="shared" si="2"/>
        <v/>
      </c>
      <c r="Y19">
        <f t="shared" si="3"/>
        <v>0</v>
      </c>
    </row>
    <row r="20" spans="1:25" x14ac:dyDescent="0.25">
      <c r="A20" t="s">
        <v>29</v>
      </c>
      <c r="B20">
        <v>3</v>
      </c>
      <c r="C20">
        <v>3</v>
      </c>
      <c r="D20">
        <v>3</v>
      </c>
      <c r="E20">
        <v>4</v>
      </c>
      <c r="F20">
        <v>5</v>
      </c>
      <c r="G20">
        <v>4</v>
      </c>
      <c r="H20">
        <v>4</v>
      </c>
      <c r="I20">
        <v>3</v>
      </c>
      <c r="J20">
        <v>5</v>
      </c>
      <c r="K20">
        <v>4</v>
      </c>
      <c r="L20">
        <v>3</v>
      </c>
      <c r="M20">
        <v>4</v>
      </c>
      <c r="N20">
        <f t="shared" si="0"/>
        <v>3.75</v>
      </c>
      <c r="O20">
        <v>76</v>
      </c>
      <c r="P20">
        <v>2</v>
      </c>
      <c r="Q20" t="str">
        <f t="shared" si="1"/>
        <v/>
      </c>
      <c r="R20" t="str">
        <f t="shared" si="2"/>
        <v/>
      </c>
      <c r="Y20">
        <f t="shared" si="3"/>
        <v>0</v>
      </c>
    </row>
    <row r="21" spans="1:25" x14ac:dyDescent="0.25">
      <c r="A21" t="s">
        <v>11</v>
      </c>
      <c r="B21">
        <v>5</v>
      </c>
      <c r="C21">
        <v>4</v>
      </c>
      <c r="D21">
        <v>5</v>
      </c>
      <c r="E21">
        <v>5</v>
      </c>
      <c r="F21">
        <v>5</v>
      </c>
      <c r="G21">
        <v>5</v>
      </c>
      <c r="H21">
        <v>4</v>
      </c>
      <c r="I21">
        <v>5</v>
      </c>
      <c r="J21">
        <v>5</v>
      </c>
      <c r="K21">
        <v>5</v>
      </c>
      <c r="L21">
        <v>4</v>
      </c>
      <c r="M21" t="s">
        <v>54</v>
      </c>
      <c r="N21">
        <f t="shared" si="0"/>
        <v>4.7272727272727275</v>
      </c>
      <c r="O21">
        <v>0</v>
      </c>
      <c r="P21">
        <v>0</v>
      </c>
      <c r="Q21" t="str">
        <f t="shared" si="1"/>
        <v>x</v>
      </c>
      <c r="R21" t="str">
        <f t="shared" si="2"/>
        <v/>
      </c>
      <c r="Y21">
        <f t="shared" si="3"/>
        <v>0</v>
      </c>
    </row>
    <row r="22" spans="1:25" x14ac:dyDescent="0.25">
      <c r="A22" t="s">
        <v>18</v>
      </c>
      <c r="B22">
        <v>3</v>
      </c>
      <c r="C22">
        <v>4</v>
      </c>
      <c r="D22">
        <v>1</v>
      </c>
      <c r="E22">
        <v>3</v>
      </c>
      <c r="F22">
        <v>5</v>
      </c>
      <c r="G22">
        <v>5</v>
      </c>
      <c r="H22">
        <v>2</v>
      </c>
      <c r="I22">
        <v>3</v>
      </c>
      <c r="J22">
        <v>4</v>
      </c>
      <c r="K22">
        <v>5</v>
      </c>
      <c r="L22">
        <v>3</v>
      </c>
      <c r="M22">
        <v>5</v>
      </c>
      <c r="N22">
        <f t="shared" si="0"/>
        <v>3.5833333333333335</v>
      </c>
      <c r="O22">
        <v>12</v>
      </c>
      <c r="P22">
        <v>0</v>
      </c>
      <c r="Q22" t="str">
        <f t="shared" si="1"/>
        <v/>
      </c>
      <c r="R22" t="str">
        <f t="shared" si="2"/>
        <v>!!!</v>
      </c>
      <c r="Y22">
        <f t="shared" si="3"/>
        <v>1</v>
      </c>
    </row>
    <row r="23" spans="1:25" x14ac:dyDescent="0.25">
      <c r="A23" t="s">
        <v>3</v>
      </c>
      <c r="B23">
        <v>5</v>
      </c>
      <c r="C23">
        <v>4</v>
      </c>
      <c r="D23">
        <v>5</v>
      </c>
      <c r="E23">
        <v>4</v>
      </c>
      <c r="F23">
        <v>4</v>
      </c>
      <c r="G23">
        <v>5</v>
      </c>
      <c r="H23">
        <v>5</v>
      </c>
      <c r="I23">
        <v>4</v>
      </c>
      <c r="J23">
        <v>4</v>
      </c>
      <c r="K23">
        <v>4</v>
      </c>
      <c r="L23">
        <v>5</v>
      </c>
      <c r="M23">
        <v>5</v>
      </c>
      <c r="N23">
        <f t="shared" si="0"/>
        <v>4.5</v>
      </c>
      <c r="O23">
        <v>84</v>
      </c>
      <c r="P23">
        <v>2</v>
      </c>
      <c r="Q23" t="str">
        <f t="shared" si="1"/>
        <v/>
      </c>
      <c r="R23" t="str">
        <f t="shared" si="2"/>
        <v/>
      </c>
      <c r="Y23">
        <f t="shared" si="3"/>
        <v>0</v>
      </c>
    </row>
    <row r="24" spans="1:25" x14ac:dyDescent="0.25">
      <c r="A24" t="s">
        <v>9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f t="shared" si="0"/>
        <v>5</v>
      </c>
      <c r="O24">
        <v>1</v>
      </c>
      <c r="P24">
        <v>0</v>
      </c>
      <c r="Q24" t="str">
        <f t="shared" si="1"/>
        <v>x</v>
      </c>
      <c r="R24" t="str">
        <f t="shared" si="2"/>
        <v/>
      </c>
      <c r="Y24">
        <f t="shared" si="3"/>
        <v>0</v>
      </c>
    </row>
    <row r="25" spans="1:25" x14ac:dyDescent="0.25">
      <c r="A25" t="s">
        <v>4</v>
      </c>
      <c r="B25">
        <v>4</v>
      </c>
      <c r="C25">
        <v>4</v>
      </c>
      <c r="D25">
        <v>3</v>
      </c>
      <c r="E25">
        <v>4</v>
      </c>
      <c r="F25">
        <v>4</v>
      </c>
      <c r="G25">
        <v>5</v>
      </c>
      <c r="H25">
        <v>4</v>
      </c>
      <c r="I25">
        <v>2</v>
      </c>
      <c r="J25">
        <v>3</v>
      </c>
      <c r="K25">
        <v>3</v>
      </c>
      <c r="L25">
        <v>4</v>
      </c>
      <c r="M25">
        <v>5</v>
      </c>
      <c r="N25">
        <f t="shared" si="0"/>
        <v>3.75</v>
      </c>
      <c r="O25">
        <v>24</v>
      </c>
      <c r="P25">
        <v>1</v>
      </c>
      <c r="Q25" t="str">
        <f t="shared" si="1"/>
        <v/>
      </c>
      <c r="R25" t="str">
        <f t="shared" si="2"/>
        <v/>
      </c>
      <c r="Y25">
        <f t="shared" si="3"/>
        <v>0</v>
      </c>
    </row>
    <row r="26" spans="1:25" x14ac:dyDescent="0.25">
      <c r="A26" t="s">
        <v>14</v>
      </c>
      <c r="B26">
        <v>4</v>
      </c>
      <c r="C26">
        <v>5</v>
      </c>
      <c r="D26">
        <v>4</v>
      </c>
      <c r="E26">
        <v>3</v>
      </c>
      <c r="F26">
        <v>5</v>
      </c>
      <c r="G26">
        <v>5</v>
      </c>
      <c r="H26">
        <v>4</v>
      </c>
      <c r="I26">
        <v>3</v>
      </c>
      <c r="J26">
        <v>5</v>
      </c>
      <c r="K26">
        <v>5</v>
      </c>
      <c r="L26">
        <v>4</v>
      </c>
      <c r="M26">
        <v>5</v>
      </c>
      <c r="N26">
        <f t="shared" si="0"/>
        <v>4.333333333333333</v>
      </c>
      <c r="O26">
        <v>48</v>
      </c>
      <c r="P26">
        <v>1</v>
      </c>
      <c r="Q26" t="str">
        <f t="shared" si="1"/>
        <v/>
      </c>
      <c r="R26" t="str">
        <f t="shared" si="2"/>
        <v/>
      </c>
      <c r="Y26">
        <f t="shared" si="3"/>
        <v>0</v>
      </c>
    </row>
    <row r="27" spans="1:25" x14ac:dyDescent="0.25">
      <c r="A27" t="s">
        <v>57</v>
      </c>
      <c r="B27">
        <f>AVERAGE(B3:B26)</f>
        <v>4.25</v>
      </c>
      <c r="C27">
        <f t="shared" ref="C27:M27" si="4">AVERAGE(C3:C26)</f>
        <v>4.083333333333333</v>
      </c>
      <c r="D27">
        <f t="shared" si="4"/>
        <v>3.9583333333333335</v>
      </c>
      <c r="E27">
        <f t="shared" si="4"/>
        <v>3.8333333333333335</v>
      </c>
      <c r="F27">
        <f t="shared" si="4"/>
        <v>4.625</v>
      </c>
      <c r="G27">
        <f t="shared" si="4"/>
        <v>4.791666666666667</v>
      </c>
      <c r="H27">
        <f t="shared" si="4"/>
        <v>3.6666666666666665</v>
      </c>
      <c r="I27">
        <f t="shared" si="4"/>
        <v>3.875</v>
      </c>
      <c r="J27">
        <f t="shared" si="4"/>
        <v>4.458333333333333</v>
      </c>
      <c r="K27">
        <f t="shared" si="4"/>
        <v>4.208333333333333</v>
      </c>
      <c r="L27">
        <f t="shared" si="4"/>
        <v>4.166666666666667</v>
      </c>
      <c r="M27">
        <f t="shared" si="4"/>
        <v>4.5454545454545459</v>
      </c>
    </row>
    <row r="28" spans="1:25" x14ac:dyDescent="0.25">
      <c r="A28" t="s">
        <v>46</v>
      </c>
      <c r="O28">
        <f>SUM(O3:O26)</f>
        <v>1096</v>
      </c>
      <c r="P28">
        <f>SUM(P3:P26)</f>
        <v>31</v>
      </c>
      <c r="Q28">
        <f>COUNTIF(Q3:Q26,"x")</f>
        <v>8</v>
      </c>
      <c r="R28">
        <f>COUNTIF(R3:R26,"!!!")</f>
        <v>4</v>
      </c>
    </row>
    <row r="29" spans="1:25" x14ac:dyDescent="0.25">
      <c r="A29" t="s">
        <v>47</v>
      </c>
      <c r="O29">
        <f>O28/$B31</f>
        <v>45.666666666666664</v>
      </c>
      <c r="P29">
        <f>P28/$B31</f>
        <v>1.2916666666666667</v>
      </c>
    </row>
    <row r="31" spans="1:25" x14ac:dyDescent="0.25">
      <c r="A31" t="s">
        <v>23</v>
      </c>
      <c r="B31">
        <f>COUNTA(A3:A26)</f>
        <v>24</v>
      </c>
      <c r="G31" t="s">
        <v>48</v>
      </c>
      <c r="H31">
        <f>MAX(N3:N26)</f>
        <v>5</v>
      </c>
      <c r="N31" t="s">
        <v>53</v>
      </c>
      <c r="O31">
        <f>MIN(N3:N26)</f>
        <v>2.75</v>
      </c>
    </row>
    <row r="32" spans="1:25" x14ac:dyDescent="0.25">
      <c r="A32" t="s">
        <v>55</v>
      </c>
      <c r="B32">
        <f>AVERAGE(N3:N26)</f>
        <v>4.2010732323232327</v>
      </c>
      <c r="G32" t="s">
        <v>50</v>
      </c>
      <c r="H32">
        <f>LARGE(N3:N26,2)</f>
        <v>4.916666666666667</v>
      </c>
      <c r="N32" t="s">
        <v>52</v>
      </c>
      <c r="O32">
        <f>SMALL(N3:N26,2)</f>
        <v>3.1818181818181817</v>
      </c>
    </row>
    <row r="33" spans="1:15" x14ac:dyDescent="0.25">
      <c r="A33" t="s">
        <v>56</v>
      </c>
      <c r="B33">
        <f>COUNTIF(R3:R26,"!!!")</f>
        <v>4</v>
      </c>
      <c r="G33" t="s">
        <v>49</v>
      </c>
      <c r="H33">
        <f>LARGE(N3:N26,3)</f>
        <v>4.833333333333333</v>
      </c>
      <c r="N33" t="s">
        <v>51</v>
      </c>
      <c r="O33">
        <f>SMALL(N3:N26,3)</f>
        <v>3.5833333333333335</v>
      </c>
    </row>
    <row r="68" spans="1:1" x14ac:dyDescent="0.25">
      <c r="A68" t="s">
        <v>23</v>
      </c>
    </row>
    <row r="69" spans="1:1" x14ac:dyDescent="0.25">
      <c r="A69" t="s">
        <v>24</v>
      </c>
    </row>
    <row r="70" spans="1:1" x14ac:dyDescent="0.25">
      <c r="A70" t="s">
        <v>27</v>
      </c>
    </row>
    <row r="71" spans="1:1" x14ac:dyDescent="0.25">
      <c r="A71" t="s">
        <v>25</v>
      </c>
    </row>
    <row r="72" spans="1:1" x14ac:dyDescent="0.25">
      <c r="A72" t="s">
        <v>26</v>
      </c>
    </row>
  </sheetData>
  <sortState ref="A4:A25">
    <sortCondition ref="A3:A2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av_x00ed_t_x00e1_sik_x00e9_r_x00e9_s xmlns="d03630f2-9d39-4cad-954d-8be6d2bd6cde" xsi:nil="true"/>
    <_x00c1_d_x00e1_m2 xmlns="d03630f2-9d39-4cad-954d-8be6d2bd6cde" xsi:nil="true"/>
    <TaxCatchAll xmlns="d03852db-04d3-4377-a8c3-fe9a234be78f" xsi:nil="true"/>
    <lcf76f155ced4ddcb4097134ff3c332f xmlns="d03630f2-9d39-4cad-954d-8be6d2bd6cde">
      <Terms xmlns="http://schemas.microsoft.com/office/infopath/2007/PartnerControls"/>
    </lcf76f155ced4ddcb4097134ff3c332f>
    <MEGJEGYZ_x00c9_S xmlns="d03630f2-9d39-4cad-954d-8be6d2bd6cde" xsi:nil="true"/>
    <Jav_x00ed_tva xmlns="d03630f2-9d39-4cad-954d-8be6d2bd6cde">true</Jav_x00ed_tva>
    <_x00c1_d_x00e1_m xmlns="d03630f2-9d39-4cad-954d-8be6d2bd6c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E509A781148DC4C893057FB559F6B6B" ma:contentTypeVersion="22" ma:contentTypeDescription="Új dokumentum létrehozása." ma:contentTypeScope="" ma:versionID="b6dadf59cbf163bf6d5e581b3950e9b6">
  <xsd:schema xmlns:xsd="http://www.w3.org/2001/XMLSchema" xmlns:xs="http://www.w3.org/2001/XMLSchema" xmlns:p="http://schemas.microsoft.com/office/2006/metadata/properties" xmlns:ns2="d03630f2-9d39-4cad-954d-8be6d2bd6cde" xmlns:ns3="d03852db-04d3-4377-a8c3-fe9a234be78f" targetNamespace="http://schemas.microsoft.com/office/2006/metadata/properties" ma:root="true" ma:fieldsID="38ff1feae400bc53cf28fa6d8a1cf464" ns2:_="" ns3:_="">
    <xsd:import namespace="d03630f2-9d39-4cad-954d-8be6d2bd6cde"/>
    <xsd:import namespace="d03852db-04d3-4377-a8c3-fe9a234be78f"/>
    <xsd:element name="properties">
      <xsd:complexType>
        <xsd:sequence>
          <xsd:element name="documentManagement">
            <xsd:complexType>
              <xsd:all>
                <xsd:element ref="ns2:_x00c1_d_x00e1_m" minOccurs="0"/>
                <xsd:element ref="ns2:MEGJEGYZ_x00c9_S" minOccurs="0"/>
                <xsd:element ref="ns2:Jav_x00ed_tv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x00c1_d_x00e1_m2" minOccurs="0"/>
                <xsd:element ref="ns2:Jav_x00ed_t_x00e1_sik_x00e9_r_x00e9_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630f2-9d39-4cad-954d-8be6d2bd6cde" elementFormDefault="qualified">
    <xsd:import namespace="http://schemas.microsoft.com/office/2006/documentManagement/types"/>
    <xsd:import namespace="http://schemas.microsoft.com/office/infopath/2007/PartnerControls"/>
    <xsd:element name="_x00c1_d_x00e1_m" ma:index="2" nillable="true" ma:displayName="Ádám" ma:format="Dropdown" ma:internalName="_x00c1_d_x00e1_m" ma:readOnly="false">
      <xsd:simpleType>
        <xsd:restriction base="dms:Note">
          <xsd:maxLength value="255"/>
        </xsd:restriction>
      </xsd:simpleType>
    </xsd:element>
    <xsd:element name="MEGJEGYZ_x00c9_S" ma:index="3" nillable="true" ma:displayName="MEGJEGYZÉS" ma:format="Dropdown" ma:internalName="MEGJEGYZ_x00c9_S" ma:readOnly="false">
      <xsd:simpleType>
        <xsd:restriction base="dms:Text">
          <xsd:maxLength value="255"/>
        </xsd:restriction>
      </xsd:simpleType>
    </xsd:element>
    <xsd:element name="Jav_x00ed_tva" ma:index="4" nillable="true" ma:displayName="Javítva" ma:default="1" ma:format="Dropdown" ma:internalName="Jav_x00ed_tva" ma:readOnly="false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_x00c1_d_x00e1_m2" ma:index="22" nillable="true" ma:displayName="Ádám 2" ma:format="Dropdown" ma:internalName="_x00c1_d_x00e1_m2">
      <xsd:simpleType>
        <xsd:restriction base="dms:Note">
          <xsd:maxLength value="255"/>
        </xsd:restriction>
      </xsd:simpleType>
    </xsd:element>
    <xsd:element name="Jav_x00ed_t_x00e1_sik_x00e9_r_x00e9_s" ma:index="23" nillable="true" ma:displayName="Javítási kérés" ma:format="Dropdown" ma:internalName="Jav_x00ed_t_x00e1_sik_x00e9_r_x00e9_s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Képcímkék" ma:readOnly="false" ma:fieldId="{5cf76f15-5ced-4ddc-b409-7134ff3c332f}" ma:taxonomyMulti="true" ma:sspId="57228ef4-d698-4394-b5da-930908513f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852db-04d3-4377-a8c3-fe9a234be78f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7057d34e-5e1d-4640-98de-d1a37a22aa30}" ma:internalName="TaxCatchAll" ma:showField="CatchAllData" ma:web="d03852db-04d3-4377-a8c3-fe9a234be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artalomtípus"/>
        <xsd:element ref="dc:title" minOccurs="0" maxOccurs="1" ma:index="1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43B6E-C64F-4382-81A4-3D04BF209721}">
  <ds:schemaRefs>
    <ds:schemaRef ds:uri="http://schemas.openxmlformats.org/package/2006/metadata/core-properties"/>
    <ds:schemaRef ds:uri="d03852db-04d3-4377-a8c3-fe9a234be78f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d03630f2-9d39-4cad-954d-8be6d2bd6cd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3EC1E3-8C60-4A63-80C0-2A6E9A3334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7D72F9-8A50-40C1-91EE-294B5E61E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3630f2-9d39-4cad-954d-8be6d2bd6cde"/>
    <ds:schemaRef ds:uri="d03852db-04d3-4377-a8c3-fe9a234be7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2022-06-30T15:14:25Z</dcterms:created>
  <dcterms:modified xsi:type="dcterms:W3CDTF">2025-04-03T06:41:01Z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0x0101002E509A781148DC4C893057FB559F6B6B</vt:lpwstr>
  </property>
</Properties>
</file>